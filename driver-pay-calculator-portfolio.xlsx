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838ed0921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 Calculator" sheetId="1" r:id="R24738ce8422648c9"/>
    <x:sheet xmlns:r="http://schemas.openxmlformats.org/officeDocument/2006/relationships" name="Instructions" sheetId="2" r:id="R7b2a2ef93034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$0.00"/>
    <x:numFmt numFmtId="202" formatCode="$#,##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i/>
      <x:sz val="11"/>
      <x:color rgb="FF843C0C"/>
      <x:name val="Carlito"/>
    </x:font>
    <x:font>
      <x:b/>
      <x:sz val="17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C6E0B4"/>
      </x:patternFill>
    </x:fill>
    <x:fill>
      <x:patternFill patternType="solid">
        <x:fgColor rgb="FFFCE4D6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200" fontId="0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201" fontId="0" fillId="6" borderId="0" xfId="0" applyNumberFormat="1" applyFont="1" applyFill="1" applyBorder="1"/>
    <x:xf numFmtId="201" fontId="0" fillId="6" borderId="0" xfId="0" applyNumberFormat="1" applyFont="1" applyFill="1" applyBorder="1" applyAlignment="1">
      <x:alignment horizontal="center"/>
    </x:xf>
    <x:xf numFmtId="201" fontId="0" fillId="6" borderId="1" xfId="0" applyNumberFormat="1" applyFont="1" applyFill="1" applyBorder="1"/>
    <x:xf numFmtId="201" fontId="0" fillId="6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202" fontId="4" fillId="8" borderId="0" xfId="0" applyNumberFormat="1" applyFont="1" applyFill="1" applyBorder="1"/>
    <x:xf numFmtId="202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2" fontId="4" fillId="8" borderId="1" xfId="0" applyNumberFormat="1" applyFont="1" applyFill="1" applyBorder="1"/>
    <x:xf numFmtId="202" fontId="4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202" fontId="5" fillId="10" borderId="0" xfId="0" applyNumberFormat="1" applyFont="1" applyFill="1" applyBorder="1"/>
    <x:xf numFmtId="202" fontId="5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202" fontId="5" fillId="10" borderId="1" xfId="0" applyNumberFormat="1" applyFont="1" applyFill="1" applyBorder="1"/>
    <x:xf numFmtId="202" fontId="5" fillId="10" borderId="1" xfId="0" applyNumberFormat="1" applyFont="1" applyFill="1" applyBorder="1" applyAlignment="1">
      <x:alignment horizontal="center"/>
    </x:xf>
    <x:xf numFmtId="200" fontId="4" fillId="8" borderId="0" xfId="0" applyNumberFormat="1" applyFont="1" applyFill="1" applyBorder="1"/>
    <x:xf numFmtId="200" fontId="4" fillId="8" borderId="0" xfId="0" applyNumberFormat="1" applyFont="1" applyFill="1" applyBorder="1" applyAlignment="1">
      <x:alignment horizontal="center"/>
    </x:xf>
    <x:xf numFmtId="200" fontId="4" fillId="8" borderId="1" xfId="0" applyNumberFormat="1" applyFont="1" applyFill="1" applyBorder="1"/>
    <x:xf numFmtId="200" fontId="4" fillId="8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6" fillId="11" borderId="1" xfId="0" applyNumberFormat="1" applyFont="1" applyFill="1" applyBorder="1"/>
    <x:xf numFmtId="0" fontId="6" fillId="11" borderId="1" xfId="0" applyNumberFormat="1" applyFont="1" applyFill="1" applyBorder="1" applyAlignment="1">
      <x:alignment wrapText="1"/>
    </x:xf>
    <x:xf numFmtId="0" fontId="6" fillId="11" borderId="1" xfId="0" applyNumberFormat="1" applyFont="1" applyFill="1" applyBorder="1" applyAlignment="1">
      <x:alignment horizont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vertical="center"/>
    </x:xf>
    <x:xf numFmtId="200" fontId="0" fillId="6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center"/>
    </x:xf>
    <x:xf numFmtId="202" fontId="4" fillId="8" borderId="9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vertical="center"/>
    </x:xf>
    <x:xf numFmtId="200" fontId="0" fillId="6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 applyAlignment="1">
      <x:alignment vertical="center"/>
    </x:xf>
    <x:xf numFmtId="202" fontId="4" fillId="8" borderId="16" xfId="0" applyNumberFormat="1" applyFont="1" applyFill="1" applyBorder="1" applyAlignment="1">
      <x:alignment horizontal="center"/>
    </x:xf>
    <x:xf numFmtId="202" fontId="4" fillId="8" borderId="17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/>
    <x:xf numFmtId="201" fontId="0" fillId="6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/>
    <x:xf numFmtId="201" fontId="0" fillId="6" borderId="9" xfId="0" applyNumberFormat="1" applyFont="1" applyFill="1" applyBorder="1" applyAlignment="1">
      <x:alignment horizontal="center"/>
    </x:xf>
    <x:xf numFmtId="0" fontId="3" fillId="7" borderId="10" xfId="0" applyNumberFormat="1" applyFont="1" applyFill="1" applyBorder="1" applyAlignment="1">
      <x:alignment horizontal="center"/>
    </x:xf>
    <x:xf numFmtId="0" fontId="3" fillId="7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/>
    <x:xf numFmtId="201" fontId="0" fillId="6" borderId="14" xfId="0" applyNumberFormat="1" applyFont="1" applyFill="1" applyBorder="1" applyAlignment="1">
      <x:alignment horizontal="center"/>
    </x:xf>
    <x:xf numFmtId="0" fontId="4" fillId="5" borderId="15" xfId="0" applyNumberFormat="1" applyFont="1" applyFill="1" applyBorder="1"/>
    <x:xf numFmtId="201" fontId="0" fillId="6" borderId="17" xfId="0" applyNumberFormat="1" applyFont="1" applyFill="1" applyBorder="1" applyAlignment="1">
      <x:alignment horizontal="center"/>
    </x:xf>
    <x:xf numFmtId="0" fontId="3" fillId="9" borderId="2" xfId="0" applyNumberFormat="1" applyFont="1" applyFill="1" applyBorder="1" applyAlignment="1">
      <x:alignment horizontal="center"/>
    </x:xf>
    <x:xf numFmtId="0" fontId="3" fillId="9" borderId="4" xfId="0" applyNumberFormat="1" applyFont="1" applyFill="1" applyBorder="1" applyAlignment="1">
      <x:alignment horizontal="center"/>
    </x:xf>
    <x:xf numFmtId="0" fontId="4" fillId="8" borderId="5" xfId="0" applyNumberFormat="1" applyFont="1" applyFill="1" applyBorder="1"/>
    <x:xf numFmtId="202" fontId="5" fillId="10" borderId="6" xfId="0" applyNumberFormat="1" applyFont="1" applyFill="1" applyBorder="1" applyAlignment="1">
      <x:alignment horizontal="center"/>
    </x:xf>
    <x:xf numFmtId="200" fontId="4" fillId="8" borderId="6" xfId="0" applyNumberFormat="1" applyFont="1" applyFill="1" applyBorder="1" applyAlignment="1">
      <x:alignment horizontal="center"/>
    </x:xf>
    <x:xf numFmtId="0" fontId="4" fillId="8" borderId="7" xfId="0" applyNumberFormat="1" applyFont="1" applyFill="1" applyBorder="1"/>
    <x:xf numFmtId="200" fontId="4" fillId="8" borderId="9" xfId="0" applyNumberFormat="1" applyFont="1" applyFill="1" applyBorder="1" applyAlignment="1">
      <x:alignment horizontal="center"/>
    </x:xf>
    <x:xf numFmtId="0" fontId="3" fillId="9" borderId="10" xfId="0" applyNumberFormat="1" applyFont="1" applyFill="1" applyBorder="1" applyAlignment="1">
      <x:alignment horizontal="center"/>
    </x:xf>
    <x:xf numFmtId="0" fontId="3" fillId="9" borderId="12" xfId="0" applyNumberFormat="1" applyFont="1" applyFill="1" applyBorder="1" applyAlignment="1">
      <x:alignment horizontal="center"/>
    </x:xf>
    <x:xf numFmtId="0" fontId="4" fillId="8" borderId="13" xfId="0" applyNumberFormat="1" applyFont="1" applyFill="1" applyBorder="1"/>
    <x:xf numFmtId="202" fontId="5" fillId="10" borderId="14" xfId="0" applyNumberFormat="1" applyFont="1" applyFill="1" applyBorder="1" applyAlignment="1">
      <x:alignment horizontal="center"/>
    </x:xf>
    <x:xf numFmtId="200" fontId="4" fillId="8" borderId="14" xfId="0" applyNumberFormat="1" applyFont="1" applyFill="1" applyBorder="1" applyAlignment="1">
      <x:alignment horizontal="center"/>
    </x:xf>
    <x:xf numFmtId="0" fontId="4" fillId="8" borderId="15" xfId="0" applyNumberFormat="1" applyFont="1" applyFill="1" applyBorder="1"/>
    <x:xf numFmtId="200" fontId="4" fillId="8" borderId="17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18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 wrapText="1"/>
    </x:xf>
    <x:xf numFmtId="0" fontId="4" fillId="3" borderId="20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 wrapText="1"/>
    </x:xf>
    <x:xf numFmtId="0" fontId="4" fillId="3" borderId="22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869fb7506410a" /><Relationship Type="http://schemas.openxmlformats.org/officeDocument/2006/relationships/theme" Target="/xl/theme/theme1.xml" Id="R63396e82a75f4bcc" /><Relationship Type="http://schemas.openxmlformats.org/officeDocument/2006/relationships/sharedStrings" Target="/xl/sharedStrings.xml" Id="Rc08e000ec3c94cb5" /><Relationship Type="http://schemas.openxmlformats.org/officeDocument/2006/relationships/worksheet" Target="/xl/worksheets/sheet1.xml" Id="R24738ce8422648c9" /><Relationship Type="http://schemas.openxmlformats.org/officeDocument/2006/relationships/worksheet" Target="/xl/worksheets/sheet2.xml" Id="R7b2a2ef93034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22" hidden="0" customWidth="1"/>
    <x:col min="11" max="11" width="13" hidden="0" customWidth="1"/>
  </x:cols>
  <x:sheetData>
    <x:row r="1" ht="30" customHeight="1">
      <x:c r="A1" s="5" t="str">
        <x:v>Driver Pay Calculator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Portfolio demonstration using fictional sample rates and work entries</x:v>
      </x:c>
      <x:c r="B2" s="13"/>
      <x:c r="C2" s="13"/>
      <x:c r="D2" s="13"/>
      <x:c r="E2" s="13"/>
      <x:c r="F2" s="13"/>
      <x:c r="G2" s="13"/>
      <x:c r="H2" s="13"/>
    </x:row>
    <x:row r="4" ht="28" customHeight="1">
      <x:c r="A4" s="86" t="str">
        <x:v>Pay Category</x:v>
      </x:c>
      <x:c r="B4" s="87" t="str">
        <x:v>Monday</x:v>
      </x:c>
      <x:c r="C4" s="87" t="str">
        <x:v>Tuesday</x:v>
      </x:c>
      <x:c r="D4" s="87" t="str">
        <x:v>Wednesday</x:v>
      </x:c>
      <x:c r="E4" s="87" t="str">
        <x:v>Thursday</x:v>
      </x:c>
      <x:c r="F4" s="87" t="str">
        <x:v>Friday</x:v>
      </x:c>
      <x:c r="G4" s="87" t="str">
        <x:v>Saturday</x:v>
      </x:c>
      <x:c r="H4" s="88" t="str">
        <x:v>Sunday</x:v>
      </x:c>
      <x:c r="J4" s="102" t="str">
        <x:v>Rate Inputs</x:v>
      </x:c>
      <x:c r="K4" s="103"/>
    </x:row>
    <x:row r="5">
      <x:c r="A5" s="89" t="str">
        <x:v>Standard Miles</x:v>
      </x:c>
      <x:c r="B5" s="36" t="n">
        <x:v>410</x:v>
      </x:c>
      <x:c r="C5" s="36" t="n">
        <x:v>385</x:v>
      </x:c>
      <x:c r="D5" s="36" t="n">
        <x:v>445</x:v>
      </x:c>
      <x:c r="E5" s="36" t="n">
        <x:v>0</x:v>
      </x:c>
      <x:c r="F5" s="36" t="n">
        <x:v>500</x:v>
      </x:c>
      <x:c r="G5" s="36" t="n">
        <x:v>240</x:v>
      </x:c>
      <x:c r="H5" s="90" t="n">
        <x:v>0</x:v>
      </x:c>
      <x:c r="J5" s="104" t="str">
        <x:v>Standard mile rate</x:v>
      </x:c>
      <x:c r="K5" s="105" t="n">
        <x:v>0.7</x:v>
      </x:c>
    </x:row>
    <x:row r="6">
      <x:c r="A6" s="89" t="str">
        <x:v>LCV Miles</x:v>
      </x:c>
      <x:c r="B6" s="36" t="n">
        <x:v>0</x:v>
      </x:c>
      <x:c r="C6" s="36" t="n">
        <x:v>0</x:v>
      </x:c>
      <x:c r="D6" s="36" t="n">
        <x:v>60</x:v>
      </x:c>
      <x:c r="E6" s="36" t="n">
        <x:v>0</x:v>
      </x:c>
      <x:c r="F6" s="36" t="n">
        <x:v>0</x:v>
      </x:c>
      <x:c r="G6" s="36" t="n">
        <x:v>0</x:v>
      </x:c>
      <x:c r="H6" s="90" t="n">
        <x:v>0</x:v>
      </x:c>
      <x:c r="J6" s="104" t="str">
        <x:v>LCV mile rate</x:v>
      </x:c>
      <x:c r="K6" s="105" t="n">
        <x:v>0.85</x:v>
      </x:c>
    </x:row>
    <x:row r="7">
      <x:c r="A7" s="89" t="str">
        <x:v>Delay Hours</x:v>
      </x:c>
      <x:c r="B7" s="36" t="n">
        <x:v>1.5</x:v>
      </x:c>
      <x:c r="C7" s="36" t="n">
        <x:v>0</x:v>
      </x:c>
      <x:c r="D7" s="36" t="n">
        <x:v>2</x:v>
      </x:c>
      <x:c r="E7" s="36" t="n">
        <x:v>0</x:v>
      </x:c>
      <x:c r="F7" s="36" t="n">
        <x:v>1</x:v>
      </x:c>
      <x:c r="G7" s="36" t="n">
        <x:v>0.5</x:v>
      </x:c>
      <x:c r="H7" s="90" t="n">
        <x:v>0</x:v>
      </x:c>
      <x:c r="J7" s="104" t="str">
        <x:v>Delay hourly rate</x:v>
      </x:c>
      <x:c r="K7" s="105" t="n">
        <x:v>30</x:v>
      </x:c>
    </x:row>
    <x:row r="8">
      <x:c r="A8" s="89" t="str">
        <x:v>Task Hours</x:v>
      </x:c>
      <x:c r="B8" s="36" t="n">
        <x:v>0.5</x:v>
      </x:c>
      <x:c r="C8" s="36" t="n">
        <x:v>1</x:v>
      </x:c>
      <x:c r="D8" s="36" t="n">
        <x:v>0.5</x:v>
      </x:c>
      <x:c r="E8" s="36" t="n">
        <x:v>0</x:v>
      </x:c>
      <x:c r="F8" s="36" t="n">
        <x:v>1</x:v>
      </x:c>
      <x:c r="G8" s="36" t="n">
        <x:v>1.5</x:v>
      </x:c>
      <x:c r="H8" s="90" t="n">
        <x:v>0</x:v>
      </x:c>
      <x:c r="J8" s="106" t="str">
        <x:v>Task hourly rate</x:v>
      </x:c>
      <x:c r="K8" s="107" t="n">
        <x:v>30</x:v>
      </x:c>
    </x:row>
    <x:row r="9">
      <x:c r="A9" s="91" t="str">
        <x:v>Daily Gross Pay</x:v>
      </x:c>
      <x:c r="B9" s="92" t="n">
        <x:f>ROUND((B5*$K$5)+(B6*$K$6)+(B7*$K$7)+(B8*$K$8),2)</x:f>
        <x:v>347</x:v>
      </x:c>
      <x:c r="C9" s="92" t="n">
        <x:f>ROUND((C5*$K$5)+(C6*$K$6)+(C7*$K$7)+(C8*$K$8),2)</x:f>
        <x:v>299.5</x:v>
      </x:c>
      <x:c r="D9" s="92" t="n">
        <x:f>ROUND((D5*$K$5)+(D6*$K$6)+(D7*$K$7)+(D8*$K$8),2)</x:f>
        <x:v>437.5</x:v>
      </x:c>
      <x:c r="E9" s="92" t="n">
        <x:f>ROUND((E5*$K$5)+(E6*$K$6)+(E7*$K$7)+(E8*$K$8),2)</x:f>
        <x:v>0</x:v>
      </x:c>
      <x:c r="F9" s="92" t="n">
        <x:f>ROUND((F5*$K$5)+(F6*$K$6)+(F7*$K$7)+(F8*$K$8),2)</x:f>
        <x:v>410</x:v>
      </x:c>
      <x:c r="G9" s="92" t="n">
        <x:f>ROUND((G5*$K$5)+(G6*$K$6)+(G7*$K$7)+(G8*$K$8),2)</x:f>
        <x:v>228</x:v>
      </x:c>
      <x:c r="H9" s="93" t="n">
        <x:f>ROUND((H5*$K$5)+(H6*$K$6)+(H7*$K$7)+(H8*$K$8),2)</x:f>
        <x:v>0</x:v>
      </x:c>
    </x:row>
    <x:row r="11">
      <x:c r="A11" s="114" t="str">
        <x:v>Weekly Summary</x:v>
      </x:c>
      <x:c r="B11" s="115"/>
      <x:c r="D11" s="80" t="str">
        <x:v>Replace the yellow cells with your own miles, hours, and rates.</x:v>
      </x:c>
      <x:c r="E11" s="80"/>
      <x:c r="F11" s="80"/>
      <x:c r="G11" s="80"/>
      <x:c r="H11" s="80"/>
    </x:row>
    <x:row r="12">
      <x:c r="A12" s="116" t="str">
        <x:v>Weekly Gross Pay</x:v>
      </x:c>
      <x:c r="B12" s="117" t="n">
        <x:f>ROUND(SUM(B9:H9),2)</x:f>
        <x:v>1722</x:v>
      </x:c>
    </x:row>
    <x:row r="13">
      <x:c r="A13" s="116" t="str">
        <x:v>Total Standard Miles</x:v>
      </x:c>
      <x:c r="B13" s="118" t="n">
        <x:f>SUM(B5:H5)</x:f>
        <x:v>1980</x:v>
      </x:c>
    </x:row>
    <x:row r="14">
      <x:c r="A14" s="116" t="str">
        <x:v>Total LCV Miles</x:v>
      </x:c>
      <x:c r="B14" s="118" t="n">
        <x:f>SUM(B6:H6)</x:f>
        <x:v>60</x:v>
      </x:c>
    </x:row>
    <x:row r="15">
      <x:c r="A15" s="119" t="str">
        <x:v>Total Paid Hours</x:v>
      </x:c>
      <x:c r="B15" s="120" t="n">
        <x:f>SUM(B7:H8)</x:f>
        <x:v>9.5</x:v>
      </x:c>
    </x:row>
  </x:sheetData>
  <x:mergeCells>
    <x:mergeCell ref="A1:H1"/>
    <x:mergeCell ref="A2:H2"/>
    <x:mergeCell ref="J4:K4"/>
    <x:mergeCell ref="A11:B11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 ht="28" customHeight="1">
      <x:c r="A1" s="129" t="str">
        <x:v>Driver Pay Calculator — Portfolio Notes</x:v>
      </x:c>
      <x:c r="B1" s="129"/>
      <x:c r="C1" s="129"/>
      <x:c r="D1" s="129"/>
      <x:c r="E1" s="129"/>
      <x:c r="F1" s="129"/>
    </x:row>
    <x:row r="3" ht="42" customHeight="1">
      <x:c r="A3" s="140" t="str">
        <x:v>Purpose</x:v>
      </x:c>
      <x:c r="B3" s="141" t="str">
        <x:v>Estimate daily and weekly gross pay from mileage and paid-hour inputs.</x:v>
      </x:c>
    </x:row>
    <x:row r="4" ht="42" customHeight="1">
      <x:c r="A4" s="142" t="str">
        <x:v>How to use</x:v>
      </x:c>
      <x:c r="B4" s="143" t="str">
        <x:v>Enter values only in yellow cells on the Pay Calculator sheet. Green cells calculate automatically.</x:v>
      </x:c>
    </x:row>
    <x:row r="5" ht="42" customHeight="1">
      <x:c r="A5" s="142" t="str">
        <x:v>Portfolio safety</x:v>
      </x:c>
      <x:c r="B5" s="143" t="str">
        <x:v>The workbook contains fictional sample rates and sample work entries. It does not include employer payroll data.</x:v>
      </x:c>
    </x:row>
    <x:row r="6" ht="42" customHeight="1">
      <x:c r="A6" s="142" t="str">
        <x:v>Formula logic</x:v>
      </x:c>
      <x:c r="B6" s="143" t="str">
        <x:v>Daily pay = standard miles × standard rate + LCV miles × LCV rate + delay hours × delay rate + task hours × task rate.</x:v>
      </x:c>
    </x:row>
    <x:row r="7" ht="42" customHeight="1">
      <x:c r="A7" s="142" t="str">
        <x:v>Skills demonstrated</x:v>
      </x:c>
      <x:c r="B7" s="143" t="str">
        <x:v>Excel formulas, absolute cell references, reusable input design, summary metrics, formatting, and user-focused documentation.</x:v>
      </x:c>
    </x:row>
    <x:row r="8" ht="42" customHeight="1">
      <x:c r="A8" s="144" t="str">
        <x:v>Disclaimer</x:v>
      </x:c>
      <x:c r="B8" s="145" t="str">
        <x:v>This tool provides estimates only and is not an official payroll, tax, or benefits calculation.</x:v>
      </x:c>
    </x:row>
  </x:sheetData>
  <x:mergeCells>
    <x:mergeCell ref="A1:F1"/>
  </x:mergeCells>
  <x:pageMargins left="0.7" right="0.7" top="0.75" bottom="0.75" header="0.3" footer="0.3"/>
</x:worksheet>
</file>